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e5eaa57d3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05ad7f44914c31"/>
    <x:sheet xmlns:r="http://schemas.openxmlformats.org/officeDocument/2006/relationships" name="Transactions" sheetId="2" r:id="R568f6db3d3c946c6"/>
    <x:sheet xmlns:r="http://schemas.openxmlformats.org/officeDocument/2006/relationships" name="Setup spend" sheetId="3" r:id="R0784be9f66bd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[Red](&quot;$&quot;#,##0.00)"/>
    <x:numFmt numFmtId="201" formatCode="0"/>
    <x:numFmt numFmtId="202" formatCode="mm/dd/yy"/>
  </x:numFmts>
  <x:fonts count="7">
    <x:font>
      <x:sz val="11"/>
      <x:name val="Carlito"/>
    </x:font>
    <x:font>
      <x:sz val="10"/>
      <x:color rgb="FF24313D"/>
      <x:name val="Arial"/>
    </x:font>
    <x:font>
      <x:b/>
      <x:sz val="15"/>
      <x:color rgb="FF17324D"/>
      <x:name val="Arial"/>
    </x:font>
    <x:font>
      <x:i/>
      <x:sz val="9"/>
      <x:color rgb="FF526474"/>
      <x:name val="Arial"/>
    </x:font>
    <x:font>
      <x:b/>
      <x:sz val="10"/>
      <x:color rgb="FF17324D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6"/>
      </x:patternFill>
    </x:fill>
    <x:fill>
      <x:patternFill patternType="solid">
        <x:fgColor rgb="FFFFF2D5"/>
      </x:patternFill>
    </x:fill>
    <x:fill>
      <x:patternFill patternType="solid">
        <x:fgColor rgb="FF17324D"/>
      </x:patternFill>
    </x:fill>
  </x:fills>
  <x:borders count="2">
    <x:border/>
    <x:border>
      <x:bottom style="double">
        <x:color rgb="FFB8C8D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60ae6b62540ab" /><Relationship Type="http://schemas.openxmlformats.org/officeDocument/2006/relationships/theme" Target="/xl/theme/theme1.xml" Id="Rf932e3734fb6427f" /><Relationship Type="http://schemas.openxmlformats.org/officeDocument/2006/relationships/sharedStrings" Target="/xl/sharedStrings.xml" Id="Rb39b18f6431b43b4" /><Relationship Type="http://schemas.openxmlformats.org/officeDocument/2006/relationships/worksheet" Target="/xl/worksheets/sheet1.xml" Id="R1605ad7f44914c31" /><Relationship Type="http://schemas.openxmlformats.org/officeDocument/2006/relationships/worksheet" Target="/xl/worksheets/sheet2.xml" Id="R568f6db3d3c946c6" /><Relationship Type="http://schemas.openxmlformats.org/officeDocument/2006/relationships/worksheet" Target="/xl/worksheets/sheet3.xml" Id="R0784be9f66bd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5" hidden="0" customWidth="1"/>
    <x:col min="3" max="3" width="15" hidden="0" customWidth="1"/>
    <x:col min="4" max="4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Digifender • 2026 bookkeeping</x:v>
      </x:c>
      <x:c r="B2" s="2"/>
      <x:c r="C2" s="2"/>
      <x:c r="D2" s="2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Preliminary cash activity; verify against original statements and receipts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0" t="str">
        <x:v>Status</x:v>
      </x:c>
      <x:c r="B4" s="10" t="str">
        <x:f>IF(B5=0,"No transactions recorded","Transactions entered")</x:f>
        <x:v>No transactions recorded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Transactions dated</x:v>
      </x:c>
      <x:c r="B5" s="5" t="n">
        <x:f>COUNTA(Transactions!A6:A255)</x:f>
        <x:v>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1" t="str">
        <x:v>Gross customer receipts</x:v>
      </x:c>
      <x:c r="B7" s="12" t="n">
        <x:f>SUMIF(Transactions!F6:F255,"Revenue",Transactions!K6:K255)</x:f>
        <x:v>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 t="str">
        <x:v>Customer refunds</x:v>
      </x:c>
      <x:c r="B8" s="4" t="n">
        <x:f>SUMIF(Transactions!F6:F255,"Refund",Transactions!L6:L255)</x:f>
        <x:v>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 t="str">
        <x:v>Operating expenses</x:v>
      </x:c>
      <x:c r="B9" s="4" t="n">
        <x:f>SUMIF(Transactions!F6:F255,"Operating expense",Transactions!L6:L255)</x:f>
        <x:v>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8" t="str">
        <x:v>Preliminary operating result</x:v>
      </x:c>
      <x:c r="B10" s="9" t="n">
        <x:f>B7-B8-B9</x:f>
        <x:v>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/>
      <x:c r="B11" s="4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 t="str">
        <x:v>Member cash contributions</x:v>
      </x:c>
      <x:c r="B12" s="4" t="n">
        <x:f>SUMIF(Transactions!F6:F255,"Member contribution",Transactions!K6:K255)</x:f>
        <x:v>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Member cash distributions</x:v>
      </x:c>
      <x:c r="B13" s="4" t="n">
        <x:f>SUMIF(Transactions!F6:F255,"Member distribution",Transactions!L6:L255)</x:f>
        <x:v>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Setup spend logged separately</x:v>
      </x:c>
      <x:c r="B14" s="4" t="n">
        <x:f>SUM('Setup spend'!E6:E105)</x:f>
        <x:v>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4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Entries awaiting review</x:v>
      </x:c>
      <x:c r="B16" s="5" t="n">
        <x:f>B5-COUNTIFS(Transactions!A6:A255,"&lt;&gt;",Transactions!N6:N255,"Reviewed")</x:f>
        <x:v>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4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Bank book cash change</x:v>
      </x:c>
      <x:c r="B18" s="4" t="n">
        <x:f>SUMIF(Transactions!B6:B255,"Bank",Transactions!K6:K255)-SUMIF(Transactions!B6:B255,"Bank",Transactions!L6:L255)</x:f>
        <x:v>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Processor book cash change</x:v>
      </x:c>
      <x:c r="B19" s="4" t="n">
        <x:f>SUMIF(Transactions!B6:B255,"Processor",Transactions!K6:K255)-SUMIF(Transactions!B6:B255,"Processor",Transactions!L6:L255)</x:f>
        <x:v>0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Cash book cash change</x:v>
      </x:c>
      <x:c r="B20" s="4" t="n">
        <x:f>SUMIF(Transactions!B6:B255,"Cash",Transactions!K6:K255)-SUMIF(Transactions!B6:B255,"Cash",Transactions!L6:L255)</x:f>
        <x:v>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3" t="str">
        <x:v>Operating result excludes owner funding, transfers, tax collections, assets, and setup spend.</x:v>
      </x:c>
      <x:c r="B22" s="3"/>
      <x:c r="C22" s="3"/>
      <x:c r="D22" s="3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9" hidden="0" customWidth="1"/>
    <x:col min="4" max="4" width="24" hidden="0" customWidth="1"/>
    <x:col min="5" max="5" width="34" hidden="0" customWidth="1"/>
    <x:col min="6" max="6" width="23" hidden="0" customWidth="1"/>
    <x:col min="7" max="7" width="22" hidden="0" customWidth="1"/>
    <x:col min="8" max="8" width="18" hidden="0" customWidth="1"/>
    <x:col min="9" max="9" width="18" hidden="0" customWidth="1"/>
    <x:col min="10" max="10" width="16" hidden="0" customWidth="1"/>
    <x:col min="11" max="11" width="15" hidden="0" customWidth="1"/>
    <x:col min="12" max="12" width="15" hidden="0" customWidth="1"/>
    <x:col min="13" max="13" width="45" hidden="0" customWidth="1"/>
    <x:col min="14" max="14" width="17" hidden="0" customWidth="1"/>
    <x:col min="15" max="15" width="38" hidden="0" customWidth="1"/>
  </x:cols>
  <x:sheetData>
    <x:row r="1">
      <x:c r="A1" s="13" t="str">
        <x:v>2026 transaction register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2">
      <x:c r="A2" s="1" t="str">
        <x:v>Enter positive amounts in Money in or Money out. One cash movement per row; transfers use two rows.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Record gross sales, fees, refunds, and payouts separately. Put questions in Notes and select Needs review.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8" customHeight="1">
      <x:c r="A5" s="16" t="str">
        <x:v>Date</x:v>
      </x:c>
      <x:c r="B5" s="16" t="str">
        <x:v>Account</x:v>
      </x:c>
      <x:c r="C5" s="16" t="str">
        <x:v>External ID</x:v>
      </x:c>
      <x:c r="D5" s="16" t="str">
        <x:v>Customer / vendor</x:v>
      </x:c>
      <x:c r="E5" s="16" t="str">
        <x:v>Description</x:v>
      </x:c>
      <x:c r="F5" s="16" t="str">
        <x:v>Class</x:v>
      </x:c>
      <x:c r="G5" s="16" t="str">
        <x:v>Category</x:v>
      </x:c>
      <x:c r="H5" s="16" t="str">
        <x:v>Customer state</x:v>
      </x:c>
      <x:c r="I5" s="16" t="str">
        <x:v>Offering</x:v>
      </x:c>
      <x:c r="J5" s="16" t="str">
        <x:v>Member</x:v>
      </x:c>
      <x:c r="K5" s="16" t="str">
        <x:v>Money in</x:v>
      </x:c>
      <x:c r="L5" s="16" t="str">
        <x:v>Money out</x:v>
      </x:c>
      <x:c r="M5" s="16" t="str">
        <x:v>Evidence file</x:v>
      </x:c>
      <x:c r="N5" s="16" t="str">
        <x:v>Review status</x:v>
      </x:c>
      <x:c r="O5" s="16" t="str">
        <x:v>Notes</x:v>
      </x:c>
    </x:row>
    <x:row r="6">
      <x:c r="A6" s="17"/>
      <x:c r="B6" s="1"/>
      <x:c r="C6" s="1"/>
      <x:c r="D6" s="1"/>
      <x:c r="E6" s="1"/>
      <x:c r="F6" s="1"/>
      <x:c r="G6" s="1"/>
      <x:c r="H6" s="1"/>
      <x:c r="I6" s="1"/>
      <x:c r="J6" s="1"/>
      <x:c r="K6" s="4"/>
      <x:c r="L6" s="4"/>
      <x:c r="M6" s="1"/>
      <x:c r="N6" s="1"/>
      <x:c r="O6" s="1"/>
    </x:row>
    <x:row r="7">
      <x:c r="A7" s="17"/>
      <x:c r="B7" s="1"/>
      <x:c r="C7" s="1"/>
      <x:c r="D7" s="1"/>
      <x:c r="E7" s="1"/>
      <x:c r="F7" s="1"/>
      <x:c r="G7" s="1"/>
      <x:c r="H7" s="1"/>
      <x:c r="I7" s="1"/>
      <x:c r="J7" s="1"/>
      <x:c r="K7" s="4"/>
      <x:c r="L7" s="4"/>
      <x:c r="M7" s="1"/>
      <x:c r="N7" s="1"/>
      <x:c r="O7" s="1"/>
    </x:row>
    <x:row r="8">
      <x:c r="A8" s="17"/>
      <x:c r="B8" s="1"/>
      <x:c r="C8" s="1"/>
      <x:c r="D8" s="1"/>
      <x:c r="E8" s="1"/>
      <x:c r="F8" s="1"/>
      <x:c r="G8" s="1"/>
      <x:c r="H8" s="1"/>
      <x:c r="I8" s="1"/>
      <x:c r="J8" s="1"/>
      <x:c r="K8" s="4"/>
      <x:c r="L8" s="4"/>
      <x:c r="M8" s="1"/>
      <x:c r="N8" s="1"/>
      <x:c r="O8" s="1"/>
    </x:row>
    <x:row r="9">
      <x:c r="A9" s="17"/>
      <x:c r="B9" s="1"/>
      <x:c r="C9" s="1"/>
      <x:c r="D9" s="1"/>
      <x:c r="E9" s="1"/>
      <x:c r="F9" s="1"/>
      <x:c r="G9" s="1"/>
      <x:c r="H9" s="1"/>
      <x:c r="I9" s="1"/>
      <x:c r="J9" s="1"/>
      <x:c r="K9" s="4"/>
      <x:c r="L9" s="4"/>
      <x:c r="M9" s="1"/>
      <x:c r="N9" s="1"/>
      <x:c r="O9" s="1"/>
    </x:row>
    <x:row r="10">
      <x:c r="A10" s="17"/>
      <x:c r="B10" s="1"/>
      <x:c r="C10" s="1"/>
      <x:c r="D10" s="1"/>
      <x:c r="E10" s="1"/>
      <x:c r="F10" s="1"/>
      <x:c r="G10" s="1"/>
      <x:c r="H10" s="1"/>
      <x:c r="I10" s="1"/>
      <x:c r="J10" s="1"/>
      <x:c r="K10" s="4"/>
      <x:c r="L10" s="4"/>
      <x:c r="M10" s="1"/>
      <x:c r="N10" s="1"/>
      <x:c r="O10" s="1"/>
    </x:row>
    <x:row r="11">
      <x:c r="A11" s="17"/>
      <x:c r="B11" s="1"/>
      <x:c r="C11" s="1"/>
      <x:c r="D11" s="1"/>
      <x:c r="E11" s="1"/>
      <x:c r="F11" s="1"/>
      <x:c r="G11" s="1"/>
      <x:c r="H11" s="1"/>
      <x:c r="I11" s="1"/>
      <x:c r="J11" s="1"/>
      <x:c r="K11" s="4"/>
      <x:c r="L11" s="4"/>
      <x:c r="M11" s="1"/>
      <x:c r="N11" s="1"/>
      <x:c r="O11" s="1"/>
    </x:row>
    <x:row r="12">
      <x:c r="A12" s="17"/>
      <x:c r="B12" s="1"/>
      <x:c r="C12" s="1"/>
      <x:c r="D12" s="1"/>
      <x:c r="E12" s="1"/>
      <x:c r="F12" s="1"/>
      <x:c r="G12" s="1"/>
      <x:c r="H12" s="1"/>
      <x:c r="I12" s="1"/>
      <x:c r="J12" s="1"/>
      <x:c r="K12" s="4"/>
      <x:c r="L12" s="4"/>
      <x:c r="M12" s="1"/>
      <x:c r="N12" s="1"/>
      <x:c r="O12" s="1"/>
    </x:row>
    <x:row r="13">
      <x:c r="A13" s="17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1"/>
      <x:c r="N13" s="1"/>
      <x:c r="O13" s="1"/>
    </x:row>
    <x:row r="14">
      <x:c r="A14" s="17"/>
      <x:c r="B14" s="1"/>
      <x:c r="C14" s="1"/>
      <x:c r="D14" s="1"/>
      <x:c r="E14" s="1"/>
      <x:c r="F14" s="1"/>
      <x:c r="G14" s="1"/>
      <x:c r="H14" s="1"/>
      <x:c r="I14" s="1"/>
      <x:c r="J14" s="1"/>
      <x:c r="K14" s="4"/>
      <x:c r="L14" s="4"/>
      <x:c r="M14" s="1"/>
      <x:c r="N14" s="1"/>
      <x:c r="O14" s="1"/>
    </x:row>
    <x:row r="15">
      <x:c r="A15" s="17"/>
      <x:c r="B15" s="1"/>
      <x:c r="C15" s="1"/>
      <x:c r="D15" s="1"/>
      <x:c r="E15" s="1"/>
      <x:c r="F15" s="1"/>
      <x:c r="G15" s="1"/>
      <x:c r="H15" s="1"/>
      <x:c r="I15" s="1"/>
      <x:c r="J15" s="1"/>
      <x:c r="K15" s="4"/>
      <x:c r="L15" s="4"/>
      <x:c r="M15" s="1"/>
      <x:c r="N15" s="1"/>
      <x:c r="O15" s="1"/>
    </x:row>
    <x:row r="16">
      <x:c r="A16" s="17"/>
      <x:c r="B16" s="1"/>
      <x:c r="C16" s="1"/>
      <x:c r="D16" s="1"/>
      <x:c r="E16" s="1"/>
      <x:c r="F16" s="1"/>
      <x:c r="G16" s="1"/>
      <x:c r="H16" s="1"/>
      <x:c r="I16" s="1"/>
      <x:c r="J16" s="1"/>
      <x:c r="K16" s="4"/>
      <x:c r="L16" s="4"/>
      <x:c r="M16" s="1"/>
      <x:c r="N16" s="1"/>
      <x:c r="O16" s="1"/>
    </x:row>
    <x:row r="17">
      <x:c r="A17" s="17"/>
      <x:c r="B17" s="1"/>
      <x:c r="C17" s="1"/>
      <x:c r="D17" s="1"/>
      <x:c r="E17" s="1"/>
      <x:c r="F17" s="1"/>
      <x:c r="G17" s="1"/>
      <x:c r="H17" s="1"/>
      <x:c r="I17" s="1"/>
      <x:c r="J17" s="1"/>
      <x:c r="K17" s="4"/>
      <x:c r="L17" s="4"/>
      <x:c r="M17" s="1"/>
      <x:c r="N17" s="1"/>
      <x:c r="O17" s="1"/>
    </x:row>
    <x:row r="18">
      <x:c r="A18" s="17"/>
      <x:c r="B18" s="1"/>
      <x:c r="C18" s="1"/>
      <x:c r="D18" s="1"/>
      <x:c r="E18" s="1"/>
      <x:c r="F18" s="1"/>
      <x:c r="G18" s="1"/>
      <x:c r="H18" s="1"/>
      <x:c r="I18" s="1"/>
      <x:c r="J18" s="1"/>
      <x:c r="K18" s="4"/>
      <x:c r="L18" s="4"/>
      <x:c r="M18" s="1"/>
      <x:c r="N18" s="1"/>
      <x:c r="O18" s="1"/>
    </x:row>
    <x:row r="19">
      <x:c r="A19" s="17"/>
      <x:c r="B19" s="1"/>
      <x:c r="C19" s="1"/>
      <x:c r="D19" s="1"/>
      <x:c r="E19" s="1"/>
      <x:c r="F19" s="1"/>
      <x:c r="G19" s="1"/>
      <x:c r="H19" s="1"/>
      <x:c r="I19" s="1"/>
      <x:c r="J19" s="1"/>
      <x:c r="K19" s="4"/>
      <x:c r="L19" s="4"/>
      <x:c r="M19" s="1"/>
      <x:c r="N19" s="1"/>
      <x:c r="O19" s="1"/>
    </x:row>
    <x:row r="20">
      <x:c r="A20" s="17"/>
      <x:c r="B20" s="1"/>
      <x:c r="C20" s="1"/>
      <x:c r="D20" s="1"/>
      <x:c r="E20" s="1"/>
      <x:c r="F20" s="1"/>
      <x:c r="G20" s="1"/>
      <x:c r="H20" s="1"/>
      <x:c r="I20" s="1"/>
      <x:c r="J20" s="1"/>
      <x:c r="K20" s="4"/>
      <x:c r="L20" s="4"/>
      <x:c r="M20" s="1"/>
      <x:c r="N20" s="1"/>
      <x:c r="O20" s="1"/>
    </x:row>
    <x:row r="21">
      <x:c r="A21" s="17"/>
      <x:c r="B21" s="1"/>
      <x:c r="C21" s="1"/>
      <x:c r="D21" s="1"/>
      <x:c r="E21" s="1"/>
      <x:c r="F21" s="1"/>
      <x:c r="G21" s="1"/>
      <x:c r="H21" s="1"/>
      <x:c r="I21" s="1"/>
      <x:c r="J21" s="1"/>
      <x:c r="K21" s="4"/>
      <x:c r="L21" s="4"/>
      <x:c r="M21" s="1"/>
      <x:c r="N21" s="1"/>
      <x:c r="O21" s="1"/>
    </x:row>
    <x:row r="22">
      <x:c r="A22" s="17"/>
      <x:c r="B22" s="1"/>
      <x:c r="C22" s="1"/>
      <x:c r="D22" s="1"/>
      <x:c r="E22" s="1"/>
      <x:c r="F22" s="1"/>
      <x:c r="G22" s="1"/>
      <x:c r="H22" s="1"/>
      <x:c r="I22" s="1"/>
      <x:c r="J22" s="1"/>
      <x:c r="K22" s="4"/>
      <x:c r="L22" s="4"/>
      <x:c r="M22" s="1"/>
      <x:c r="N22" s="1"/>
      <x:c r="O22" s="1"/>
    </x:row>
    <x:row r="23">
      <x:c r="A23" s="18"/>
      <x:c r="K23" s="19"/>
      <x:c r="L23" s="19"/>
    </x:row>
    <x:row r="24">
      <x:c r="A24" s="18"/>
      <x:c r="K24" s="19"/>
      <x:c r="L24" s="19"/>
    </x:row>
    <x:row r="25">
      <x:c r="A25" s="18"/>
      <x:c r="K25" s="19"/>
      <x:c r="L25" s="19"/>
    </x:row>
    <x:row r="26">
      <x:c r="A26" s="18"/>
      <x:c r="K26" s="19"/>
      <x:c r="L26" s="19"/>
    </x:row>
    <x:row r="27">
      <x:c r="A27" s="18"/>
      <x:c r="K27" s="19"/>
      <x:c r="L27" s="19"/>
    </x:row>
    <x:row r="28">
      <x:c r="A28" s="18"/>
      <x:c r="K28" s="19"/>
      <x:c r="L28" s="19"/>
    </x:row>
    <x:row r="29">
      <x:c r="A29" s="18"/>
      <x:c r="K29" s="19"/>
      <x:c r="L29" s="19"/>
    </x:row>
    <x:row r="30">
      <x:c r="A30" s="18"/>
      <x:c r="K30" s="19"/>
      <x:c r="L30" s="19"/>
    </x:row>
    <x:row r="31">
      <x:c r="A31" s="18"/>
      <x:c r="K31" s="19"/>
      <x:c r="L31" s="19"/>
    </x:row>
    <x:row r="32">
      <x:c r="A32" s="18"/>
      <x:c r="K32" s="19"/>
      <x:c r="L32" s="19"/>
    </x:row>
    <x:row r="33">
      <x:c r="A33" s="18"/>
      <x:c r="K33" s="19"/>
      <x:c r="L33" s="19"/>
    </x:row>
    <x:row r="34">
      <x:c r="A34" s="18"/>
      <x:c r="K34" s="19"/>
      <x:c r="L34" s="19"/>
    </x:row>
    <x:row r="35">
      <x:c r="A35" s="18"/>
      <x:c r="K35" s="19"/>
      <x:c r="L35" s="19"/>
    </x:row>
    <x:row r="36">
      <x:c r="A36" s="18"/>
      <x:c r="K36" s="19"/>
      <x:c r="L36" s="19"/>
    </x:row>
    <x:row r="37">
      <x:c r="A37" s="18"/>
      <x:c r="K37" s="19"/>
      <x:c r="L37" s="19"/>
    </x:row>
    <x:row r="38">
      <x:c r="A38" s="18"/>
      <x:c r="K38" s="19"/>
      <x:c r="L38" s="19"/>
    </x:row>
    <x:row r="39">
      <x:c r="A39" s="18"/>
      <x:c r="K39" s="19"/>
      <x:c r="L39" s="19"/>
    </x:row>
    <x:row r="40">
      <x:c r="A40" s="18"/>
      <x:c r="K40" s="19"/>
      <x:c r="L40" s="19"/>
    </x:row>
    <x:row r="41">
      <x:c r="A41" s="18"/>
      <x:c r="K41" s="19"/>
      <x:c r="L41" s="19"/>
    </x:row>
    <x:row r="42">
      <x:c r="A42" s="18"/>
      <x:c r="K42" s="19"/>
      <x:c r="L42" s="19"/>
    </x:row>
    <x:row r="43">
      <x:c r="A43" s="18"/>
      <x:c r="K43" s="19"/>
      <x:c r="L43" s="19"/>
    </x:row>
    <x:row r="44">
      <x:c r="A44" s="18"/>
      <x:c r="K44" s="19"/>
      <x:c r="L44" s="19"/>
    </x:row>
    <x:row r="45">
      <x:c r="A45" s="18"/>
      <x:c r="K45" s="19"/>
      <x:c r="L45" s="19"/>
    </x:row>
    <x:row r="46">
      <x:c r="A46" s="18"/>
      <x:c r="K46" s="19"/>
      <x:c r="L46" s="19"/>
    </x:row>
    <x:row r="47">
      <x:c r="A47" s="18"/>
      <x:c r="K47" s="19"/>
      <x:c r="L47" s="19"/>
    </x:row>
    <x:row r="48">
      <x:c r="A48" s="18"/>
      <x:c r="K48" s="19"/>
      <x:c r="L48" s="19"/>
    </x:row>
    <x:row r="49">
      <x:c r="A49" s="18"/>
      <x:c r="K49" s="19"/>
      <x:c r="L49" s="19"/>
    </x:row>
    <x:row r="50">
      <x:c r="A50" s="18"/>
      <x:c r="K50" s="19"/>
      <x:c r="L50" s="19"/>
    </x:row>
    <x:row r="51">
      <x:c r="A51" s="18"/>
      <x:c r="K51" s="19"/>
      <x:c r="L51" s="19"/>
    </x:row>
    <x:row r="52">
      <x:c r="A52" s="18"/>
      <x:c r="K52" s="19"/>
      <x:c r="L52" s="19"/>
    </x:row>
    <x:row r="53">
      <x:c r="A53" s="18"/>
      <x:c r="K53" s="19"/>
      <x:c r="L53" s="19"/>
    </x:row>
    <x:row r="54">
      <x:c r="A54" s="18"/>
      <x:c r="K54" s="19"/>
      <x:c r="L54" s="19"/>
    </x:row>
    <x:row r="55">
      <x:c r="A55" s="18"/>
      <x:c r="K55" s="19"/>
      <x:c r="L55" s="19"/>
    </x:row>
    <x:row r="56">
      <x:c r="A56" s="18"/>
      <x:c r="K56" s="19"/>
      <x:c r="L56" s="19"/>
    </x:row>
    <x:row r="57">
      <x:c r="A57" s="18"/>
      <x:c r="K57" s="19"/>
      <x:c r="L57" s="19"/>
    </x:row>
    <x:row r="58">
      <x:c r="A58" s="18"/>
      <x:c r="K58" s="19"/>
      <x:c r="L58" s="19"/>
    </x:row>
    <x:row r="59">
      <x:c r="A59" s="18"/>
      <x:c r="K59" s="19"/>
      <x:c r="L59" s="19"/>
    </x:row>
    <x:row r="60">
      <x:c r="A60" s="18"/>
      <x:c r="K60" s="19"/>
      <x:c r="L60" s="19"/>
    </x:row>
    <x:row r="61">
      <x:c r="A61" s="18"/>
      <x:c r="K61" s="19"/>
      <x:c r="L61" s="19"/>
    </x:row>
    <x:row r="62">
      <x:c r="A62" s="18"/>
      <x:c r="K62" s="19"/>
      <x:c r="L62" s="19"/>
    </x:row>
    <x:row r="63">
      <x:c r="A63" s="18"/>
      <x:c r="K63" s="19"/>
      <x:c r="L63" s="19"/>
    </x:row>
    <x:row r="64">
      <x:c r="A64" s="18"/>
      <x:c r="K64" s="19"/>
      <x:c r="L64" s="19"/>
    </x:row>
    <x:row r="65">
      <x:c r="A65" s="18"/>
      <x:c r="K65" s="19"/>
      <x:c r="L65" s="19"/>
    </x:row>
    <x:row r="66">
      <x:c r="A66" s="18"/>
      <x:c r="K66" s="19"/>
      <x:c r="L66" s="19"/>
    </x:row>
    <x:row r="67">
      <x:c r="A67" s="18"/>
      <x:c r="K67" s="19"/>
      <x:c r="L67" s="19"/>
    </x:row>
    <x:row r="68">
      <x:c r="A68" s="18"/>
      <x:c r="K68" s="19"/>
      <x:c r="L68" s="19"/>
    </x:row>
    <x:row r="69">
      <x:c r="A69" s="18"/>
      <x:c r="K69" s="19"/>
      <x:c r="L69" s="19"/>
    </x:row>
    <x:row r="70">
      <x:c r="A70" s="18"/>
      <x:c r="K70" s="19"/>
      <x:c r="L70" s="19"/>
    </x:row>
    <x:row r="71">
      <x:c r="A71" s="18"/>
      <x:c r="K71" s="19"/>
      <x:c r="L71" s="19"/>
    </x:row>
    <x:row r="72">
      <x:c r="A72" s="18"/>
      <x:c r="K72" s="19"/>
      <x:c r="L72" s="19"/>
    </x:row>
    <x:row r="73">
      <x:c r="A73" s="18"/>
      <x:c r="K73" s="19"/>
      <x:c r="L73" s="19"/>
    </x:row>
    <x:row r="74">
      <x:c r="A74" s="18"/>
      <x:c r="K74" s="19"/>
      <x:c r="L74" s="19"/>
    </x:row>
    <x:row r="75">
      <x:c r="A75" s="18"/>
      <x:c r="K75" s="19"/>
      <x:c r="L75" s="19"/>
    </x:row>
    <x:row r="76">
      <x:c r="A76" s="18"/>
      <x:c r="K76" s="19"/>
      <x:c r="L76" s="19"/>
    </x:row>
    <x:row r="77">
      <x:c r="A77" s="18"/>
      <x:c r="K77" s="19"/>
      <x:c r="L77" s="19"/>
    </x:row>
    <x:row r="78">
      <x:c r="A78" s="18"/>
      <x:c r="K78" s="19"/>
      <x:c r="L78" s="19"/>
    </x:row>
    <x:row r="79">
      <x:c r="A79" s="18"/>
      <x:c r="K79" s="19"/>
      <x:c r="L79" s="19"/>
    </x:row>
    <x:row r="80">
      <x:c r="A80" s="18"/>
      <x:c r="K80" s="19"/>
      <x:c r="L80" s="19"/>
    </x:row>
    <x:row r="81">
      <x:c r="A81" s="18"/>
      <x:c r="K81" s="19"/>
      <x:c r="L81" s="19"/>
    </x:row>
    <x:row r="82">
      <x:c r="A82" s="18"/>
      <x:c r="K82" s="19"/>
      <x:c r="L82" s="19"/>
    </x:row>
    <x:row r="83">
      <x:c r="A83" s="18"/>
      <x:c r="K83" s="19"/>
      <x:c r="L83" s="19"/>
    </x:row>
    <x:row r="84">
      <x:c r="A84" s="18"/>
      <x:c r="K84" s="19"/>
      <x:c r="L84" s="19"/>
    </x:row>
    <x:row r="85">
      <x:c r="A85" s="18"/>
      <x:c r="K85" s="19"/>
      <x:c r="L85" s="19"/>
    </x:row>
    <x:row r="86">
      <x:c r="A86" s="18"/>
      <x:c r="K86" s="19"/>
      <x:c r="L86" s="19"/>
    </x:row>
    <x:row r="87">
      <x:c r="A87" s="18"/>
      <x:c r="K87" s="19"/>
      <x:c r="L87" s="19"/>
    </x:row>
    <x:row r="88">
      <x:c r="A88" s="18"/>
      <x:c r="K88" s="19"/>
      <x:c r="L88" s="19"/>
    </x:row>
    <x:row r="89">
      <x:c r="A89" s="18"/>
      <x:c r="K89" s="19"/>
      <x:c r="L89" s="19"/>
    </x:row>
    <x:row r="90">
      <x:c r="A90" s="18"/>
      <x:c r="K90" s="19"/>
      <x:c r="L90" s="19"/>
    </x:row>
    <x:row r="91">
      <x:c r="A91" s="18"/>
      <x:c r="K91" s="19"/>
      <x:c r="L91" s="19"/>
    </x:row>
    <x:row r="92">
      <x:c r="A92" s="18"/>
      <x:c r="K92" s="19"/>
      <x:c r="L92" s="19"/>
    </x:row>
    <x:row r="93">
      <x:c r="A93" s="18"/>
      <x:c r="K93" s="19"/>
      <x:c r="L93" s="19"/>
    </x:row>
    <x:row r="94">
      <x:c r="A94" s="18"/>
      <x:c r="K94" s="19"/>
      <x:c r="L94" s="19"/>
    </x:row>
    <x:row r="95">
      <x:c r="A95" s="18"/>
      <x:c r="K95" s="19"/>
      <x:c r="L95" s="19"/>
    </x:row>
    <x:row r="96">
      <x:c r="A96" s="18"/>
      <x:c r="K96" s="19"/>
      <x:c r="L96" s="19"/>
    </x:row>
    <x:row r="97">
      <x:c r="A97" s="18"/>
      <x:c r="K97" s="19"/>
      <x:c r="L97" s="19"/>
    </x:row>
    <x:row r="98">
      <x:c r="A98" s="18"/>
      <x:c r="K98" s="19"/>
      <x:c r="L98" s="19"/>
    </x:row>
    <x:row r="99">
      <x:c r="A99" s="18"/>
      <x:c r="K99" s="19"/>
      <x:c r="L99" s="19"/>
    </x:row>
    <x:row r="100">
      <x:c r="A100" s="18"/>
      <x:c r="K100" s="19"/>
      <x:c r="L100" s="19"/>
    </x:row>
    <x:row r="101">
      <x:c r="A101" s="18"/>
      <x:c r="K101" s="19"/>
      <x:c r="L101" s="19"/>
    </x:row>
    <x:row r="102">
      <x:c r="A102" s="18"/>
      <x:c r="K102" s="19"/>
      <x:c r="L102" s="19"/>
    </x:row>
    <x:row r="103">
      <x:c r="A103" s="18"/>
      <x:c r="K103" s="19"/>
      <x:c r="L103" s="19"/>
    </x:row>
    <x:row r="104">
      <x:c r="A104" s="18"/>
      <x:c r="K104" s="19"/>
      <x:c r="L104" s="19"/>
    </x:row>
    <x:row r="105">
      <x:c r="A105" s="18"/>
      <x:c r="K105" s="19"/>
      <x:c r="L105" s="19"/>
    </x:row>
    <x:row r="106">
      <x:c r="A106" s="18"/>
      <x:c r="K106" s="19"/>
      <x:c r="L106" s="19"/>
    </x:row>
    <x:row r="107">
      <x:c r="A107" s="18"/>
      <x:c r="K107" s="19"/>
      <x:c r="L107" s="19"/>
    </x:row>
    <x:row r="108">
      <x:c r="A108" s="18"/>
      <x:c r="K108" s="19"/>
      <x:c r="L108" s="19"/>
    </x:row>
    <x:row r="109">
      <x:c r="A109" s="18"/>
      <x:c r="K109" s="19"/>
      <x:c r="L109" s="19"/>
    </x:row>
    <x:row r="110">
      <x:c r="A110" s="18"/>
      <x:c r="K110" s="19"/>
      <x:c r="L110" s="19"/>
    </x:row>
    <x:row r="111">
      <x:c r="A111" s="18"/>
      <x:c r="K111" s="19"/>
      <x:c r="L111" s="19"/>
    </x:row>
    <x:row r="112">
      <x:c r="A112" s="18"/>
      <x:c r="K112" s="19"/>
      <x:c r="L112" s="19"/>
    </x:row>
    <x:row r="113">
      <x:c r="A113" s="18"/>
      <x:c r="K113" s="19"/>
      <x:c r="L113" s="19"/>
    </x:row>
    <x:row r="114">
      <x:c r="A114" s="18"/>
      <x:c r="K114" s="19"/>
      <x:c r="L114" s="19"/>
    </x:row>
    <x:row r="115">
      <x:c r="A115" s="18"/>
      <x:c r="K115" s="19"/>
      <x:c r="L115" s="19"/>
    </x:row>
    <x:row r="116">
      <x:c r="A116" s="18"/>
      <x:c r="K116" s="19"/>
      <x:c r="L116" s="19"/>
    </x:row>
    <x:row r="117">
      <x:c r="A117" s="18"/>
      <x:c r="K117" s="19"/>
      <x:c r="L117" s="19"/>
    </x:row>
    <x:row r="118">
      <x:c r="A118" s="18"/>
      <x:c r="K118" s="19"/>
      <x:c r="L118" s="19"/>
    </x:row>
    <x:row r="119">
      <x:c r="A119" s="18"/>
      <x:c r="K119" s="19"/>
      <x:c r="L119" s="19"/>
    </x:row>
    <x:row r="120">
      <x:c r="A120" s="18"/>
      <x:c r="K120" s="19"/>
      <x:c r="L120" s="19"/>
    </x:row>
    <x:row r="121">
      <x:c r="A121" s="18"/>
      <x:c r="K121" s="19"/>
      <x:c r="L121" s="19"/>
    </x:row>
    <x:row r="122">
      <x:c r="A122" s="18"/>
      <x:c r="K122" s="19"/>
      <x:c r="L122" s="19"/>
    </x:row>
    <x:row r="123">
      <x:c r="A123" s="18"/>
      <x:c r="K123" s="19"/>
      <x:c r="L123" s="19"/>
    </x:row>
    <x:row r="124">
      <x:c r="A124" s="18"/>
      <x:c r="K124" s="19"/>
      <x:c r="L124" s="19"/>
    </x:row>
    <x:row r="125">
      <x:c r="A125" s="18"/>
      <x:c r="K125" s="19"/>
      <x:c r="L125" s="19"/>
    </x:row>
    <x:row r="126">
      <x:c r="A126" s="18"/>
      <x:c r="K126" s="19"/>
      <x:c r="L126" s="19"/>
    </x:row>
    <x:row r="127">
      <x:c r="A127" s="18"/>
      <x:c r="K127" s="19"/>
      <x:c r="L127" s="19"/>
    </x:row>
    <x:row r="128">
      <x:c r="A128" s="18"/>
      <x:c r="K128" s="19"/>
      <x:c r="L128" s="19"/>
    </x:row>
    <x:row r="129">
      <x:c r="A129" s="18"/>
      <x:c r="K129" s="19"/>
      <x:c r="L129" s="19"/>
    </x:row>
    <x:row r="130">
      <x:c r="A130" s="18"/>
      <x:c r="K130" s="19"/>
      <x:c r="L130" s="19"/>
    </x:row>
    <x:row r="131">
      <x:c r="A131" s="18"/>
      <x:c r="K131" s="19"/>
      <x:c r="L131" s="19"/>
    </x:row>
    <x:row r="132">
      <x:c r="A132" s="18"/>
      <x:c r="K132" s="19"/>
      <x:c r="L132" s="19"/>
    </x:row>
    <x:row r="133">
      <x:c r="A133" s="18"/>
      <x:c r="K133" s="19"/>
      <x:c r="L133" s="19"/>
    </x:row>
    <x:row r="134">
      <x:c r="A134" s="18"/>
      <x:c r="K134" s="19"/>
      <x:c r="L134" s="19"/>
    </x:row>
    <x:row r="135">
      <x:c r="A135" s="18"/>
      <x:c r="K135" s="19"/>
      <x:c r="L135" s="19"/>
    </x:row>
    <x:row r="136">
      <x:c r="A136" s="18"/>
      <x:c r="K136" s="19"/>
      <x:c r="L136" s="19"/>
    </x:row>
    <x:row r="137">
      <x:c r="A137" s="18"/>
      <x:c r="K137" s="19"/>
      <x:c r="L137" s="19"/>
    </x:row>
    <x:row r="138">
      <x:c r="A138" s="18"/>
      <x:c r="K138" s="19"/>
      <x:c r="L138" s="19"/>
    </x:row>
    <x:row r="139">
      <x:c r="A139" s="18"/>
      <x:c r="K139" s="19"/>
      <x:c r="L139" s="19"/>
    </x:row>
    <x:row r="140">
      <x:c r="A140" s="18"/>
      <x:c r="K140" s="19"/>
      <x:c r="L140" s="19"/>
    </x:row>
    <x:row r="141">
      <x:c r="A141" s="18"/>
      <x:c r="K141" s="19"/>
      <x:c r="L141" s="19"/>
    </x:row>
    <x:row r="142">
      <x:c r="A142" s="18"/>
      <x:c r="K142" s="19"/>
      <x:c r="L142" s="19"/>
    </x:row>
    <x:row r="143">
      <x:c r="A143" s="18"/>
      <x:c r="K143" s="19"/>
      <x:c r="L143" s="19"/>
    </x:row>
    <x:row r="144">
      <x:c r="A144" s="18"/>
      <x:c r="K144" s="19"/>
      <x:c r="L144" s="19"/>
    </x:row>
    <x:row r="145">
      <x:c r="A145" s="18"/>
      <x:c r="K145" s="19"/>
      <x:c r="L145" s="19"/>
    </x:row>
    <x:row r="146">
      <x:c r="A146" s="18"/>
      <x:c r="K146" s="19"/>
      <x:c r="L146" s="19"/>
    </x:row>
    <x:row r="147">
      <x:c r="A147" s="18"/>
      <x:c r="K147" s="19"/>
      <x:c r="L147" s="19"/>
    </x:row>
    <x:row r="148">
      <x:c r="A148" s="18"/>
      <x:c r="K148" s="19"/>
      <x:c r="L148" s="19"/>
    </x:row>
    <x:row r="149">
      <x:c r="A149" s="18"/>
      <x:c r="K149" s="19"/>
      <x:c r="L149" s="19"/>
    </x:row>
    <x:row r="150">
      <x:c r="A150" s="18"/>
      <x:c r="K150" s="19"/>
      <x:c r="L150" s="19"/>
    </x:row>
    <x:row r="151">
      <x:c r="A151" s="18"/>
      <x:c r="K151" s="19"/>
      <x:c r="L151" s="19"/>
    </x:row>
    <x:row r="152">
      <x:c r="A152" s="18"/>
      <x:c r="K152" s="19"/>
      <x:c r="L152" s="19"/>
    </x:row>
    <x:row r="153">
      <x:c r="A153" s="18"/>
      <x:c r="K153" s="19"/>
      <x:c r="L153" s="19"/>
    </x:row>
    <x:row r="154">
      <x:c r="A154" s="18"/>
      <x:c r="K154" s="19"/>
      <x:c r="L154" s="19"/>
    </x:row>
    <x:row r="155">
      <x:c r="A155" s="18"/>
      <x:c r="K155" s="19"/>
      <x:c r="L155" s="19"/>
    </x:row>
    <x:row r="156">
      <x:c r="A156" s="18"/>
      <x:c r="K156" s="19"/>
      <x:c r="L156" s="19"/>
    </x:row>
    <x:row r="157">
      <x:c r="A157" s="18"/>
      <x:c r="K157" s="19"/>
      <x:c r="L157" s="19"/>
    </x:row>
    <x:row r="158">
      <x:c r="A158" s="18"/>
      <x:c r="K158" s="19"/>
      <x:c r="L158" s="19"/>
    </x:row>
    <x:row r="159">
      <x:c r="A159" s="18"/>
      <x:c r="K159" s="19"/>
      <x:c r="L159" s="19"/>
    </x:row>
    <x:row r="160">
      <x:c r="A160" s="18"/>
      <x:c r="K160" s="19"/>
      <x:c r="L160" s="19"/>
    </x:row>
    <x:row r="161">
      <x:c r="A161" s="18"/>
      <x:c r="K161" s="19"/>
      <x:c r="L161" s="19"/>
    </x:row>
    <x:row r="162">
      <x:c r="A162" s="18"/>
      <x:c r="K162" s="19"/>
      <x:c r="L162" s="19"/>
    </x:row>
    <x:row r="163">
      <x:c r="A163" s="18"/>
      <x:c r="K163" s="19"/>
      <x:c r="L163" s="19"/>
    </x:row>
    <x:row r="164">
      <x:c r="A164" s="18"/>
      <x:c r="K164" s="19"/>
      <x:c r="L164" s="19"/>
    </x:row>
    <x:row r="165">
      <x:c r="A165" s="18"/>
      <x:c r="K165" s="19"/>
      <x:c r="L165" s="19"/>
    </x:row>
    <x:row r="166">
      <x:c r="A166" s="18"/>
      <x:c r="K166" s="19"/>
      <x:c r="L166" s="19"/>
    </x:row>
    <x:row r="167">
      <x:c r="A167" s="18"/>
      <x:c r="K167" s="19"/>
      <x:c r="L167" s="19"/>
    </x:row>
    <x:row r="168">
      <x:c r="A168" s="18"/>
      <x:c r="K168" s="19"/>
      <x:c r="L168" s="19"/>
    </x:row>
    <x:row r="169">
      <x:c r="A169" s="18"/>
      <x:c r="K169" s="19"/>
      <x:c r="L169" s="19"/>
    </x:row>
    <x:row r="170">
      <x:c r="A170" s="18"/>
      <x:c r="K170" s="19"/>
      <x:c r="L170" s="19"/>
    </x:row>
    <x:row r="171">
      <x:c r="A171" s="18"/>
      <x:c r="K171" s="19"/>
      <x:c r="L171" s="19"/>
    </x:row>
    <x:row r="172">
      <x:c r="A172" s="18"/>
      <x:c r="K172" s="19"/>
      <x:c r="L172" s="19"/>
    </x:row>
    <x:row r="173">
      <x:c r="A173" s="18"/>
      <x:c r="K173" s="19"/>
      <x:c r="L173" s="19"/>
    </x:row>
    <x:row r="174">
      <x:c r="A174" s="18"/>
      <x:c r="K174" s="19"/>
      <x:c r="L174" s="19"/>
    </x:row>
    <x:row r="175">
      <x:c r="A175" s="18"/>
      <x:c r="K175" s="19"/>
      <x:c r="L175" s="19"/>
    </x:row>
    <x:row r="176">
      <x:c r="A176" s="18"/>
      <x:c r="K176" s="19"/>
      <x:c r="L176" s="19"/>
    </x:row>
    <x:row r="177">
      <x:c r="A177" s="18"/>
      <x:c r="K177" s="19"/>
      <x:c r="L177" s="19"/>
    </x:row>
    <x:row r="178">
      <x:c r="A178" s="18"/>
      <x:c r="K178" s="19"/>
      <x:c r="L178" s="19"/>
    </x:row>
    <x:row r="179">
      <x:c r="A179" s="18"/>
      <x:c r="K179" s="19"/>
      <x:c r="L179" s="19"/>
    </x:row>
    <x:row r="180">
      <x:c r="A180" s="18"/>
      <x:c r="K180" s="19"/>
      <x:c r="L180" s="19"/>
    </x:row>
    <x:row r="181">
      <x:c r="A181" s="18"/>
      <x:c r="K181" s="19"/>
      <x:c r="L181" s="19"/>
    </x:row>
    <x:row r="182">
      <x:c r="A182" s="18"/>
      <x:c r="K182" s="19"/>
      <x:c r="L182" s="19"/>
    </x:row>
    <x:row r="183">
      <x:c r="A183" s="18"/>
      <x:c r="K183" s="19"/>
      <x:c r="L183" s="19"/>
    </x:row>
    <x:row r="184">
      <x:c r="A184" s="18"/>
      <x:c r="K184" s="19"/>
      <x:c r="L184" s="19"/>
    </x:row>
    <x:row r="185">
      <x:c r="A185" s="18"/>
      <x:c r="K185" s="19"/>
      <x:c r="L185" s="19"/>
    </x:row>
    <x:row r="186">
      <x:c r="A186" s="18"/>
      <x:c r="K186" s="19"/>
      <x:c r="L186" s="19"/>
    </x:row>
    <x:row r="187">
      <x:c r="A187" s="18"/>
      <x:c r="K187" s="19"/>
      <x:c r="L187" s="19"/>
    </x:row>
    <x:row r="188">
      <x:c r="A188" s="18"/>
      <x:c r="K188" s="19"/>
      <x:c r="L188" s="19"/>
    </x:row>
    <x:row r="189">
      <x:c r="A189" s="18"/>
      <x:c r="K189" s="19"/>
      <x:c r="L189" s="19"/>
    </x:row>
    <x:row r="190">
      <x:c r="A190" s="18"/>
      <x:c r="K190" s="19"/>
      <x:c r="L190" s="19"/>
    </x:row>
    <x:row r="191">
      <x:c r="A191" s="18"/>
      <x:c r="K191" s="19"/>
      <x:c r="L191" s="19"/>
    </x:row>
    <x:row r="192">
      <x:c r="A192" s="18"/>
      <x:c r="K192" s="19"/>
      <x:c r="L192" s="19"/>
    </x:row>
    <x:row r="193">
      <x:c r="A193" s="18"/>
      <x:c r="K193" s="19"/>
      <x:c r="L193" s="19"/>
    </x:row>
    <x:row r="194">
      <x:c r="A194" s="18"/>
      <x:c r="K194" s="19"/>
      <x:c r="L194" s="19"/>
    </x:row>
    <x:row r="195">
      <x:c r="A195" s="18"/>
      <x:c r="K195" s="19"/>
      <x:c r="L195" s="19"/>
    </x:row>
    <x:row r="196">
      <x:c r="A196" s="18"/>
      <x:c r="K196" s="19"/>
      <x:c r="L196" s="19"/>
    </x:row>
    <x:row r="197">
      <x:c r="A197" s="18"/>
      <x:c r="K197" s="19"/>
      <x:c r="L197" s="19"/>
    </x:row>
    <x:row r="198">
      <x:c r="A198" s="18"/>
      <x:c r="K198" s="19"/>
      <x:c r="L198" s="19"/>
    </x:row>
    <x:row r="199">
      <x:c r="A199" s="18"/>
      <x:c r="K199" s="19"/>
      <x:c r="L199" s="19"/>
    </x:row>
    <x:row r="200">
      <x:c r="A200" s="18"/>
      <x:c r="K200" s="19"/>
      <x:c r="L200" s="19"/>
    </x:row>
    <x:row r="201">
      <x:c r="A201" s="18"/>
      <x:c r="K201" s="19"/>
      <x:c r="L201" s="19"/>
    </x:row>
    <x:row r="202">
      <x:c r="A202" s="18"/>
      <x:c r="K202" s="19"/>
      <x:c r="L202" s="19"/>
    </x:row>
    <x:row r="203">
      <x:c r="A203" s="18"/>
      <x:c r="K203" s="19"/>
      <x:c r="L203" s="19"/>
    </x:row>
    <x:row r="204">
      <x:c r="A204" s="18"/>
      <x:c r="K204" s="19"/>
      <x:c r="L204" s="19"/>
    </x:row>
    <x:row r="205">
      <x:c r="A205" s="18"/>
      <x:c r="K205" s="19"/>
      <x:c r="L205" s="19"/>
    </x:row>
    <x:row r="206">
      <x:c r="A206" s="18"/>
      <x:c r="K206" s="19"/>
      <x:c r="L206" s="19"/>
    </x:row>
    <x:row r="207">
      <x:c r="A207" s="18"/>
      <x:c r="K207" s="19"/>
      <x:c r="L207" s="19"/>
    </x:row>
    <x:row r="208">
      <x:c r="A208" s="18"/>
      <x:c r="K208" s="19"/>
      <x:c r="L208" s="19"/>
    </x:row>
    <x:row r="209">
      <x:c r="A209" s="18"/>
      <x:c r="K209" s="19"/>
      <x:c r="L209" s="19"/>
    </x:row>
    <x:row r="210">
      <x:c r="A210" s="18"/>
      <x:c r="K210" s="19"/>
      <x:c r="L210" s="19"/>
    </x:row>
    <x:row r="211">
      <x:c r="A211" s="18"/>
      <x:c r="K211" s="19"/>
      <x:c r="L211" s="19"/>
    </x:row>
    <x:row r="212">
      <x:c r="A212" s="18"/>
      <x:c r="K212" s="19"/>
      <x:c r="L212" s="19"/>
    </x:row>
    <x:row r="213">
      <x:c r="A213" s="18"/>
      <x:c r="K213" s="19"/>
      <x:c r="L213" s="19"/>
    </x:row>
    <x:row r="214">
      <x:c r="A214" s="18"/>
      <x:c r="K214" s="19"/>
      <x:c r="L214" s="19"/>
    </x:row>
    <x:row r="215">
      <x:c r="A215" s="18"/>
      <x:c r="K215" s="19"/>
      <x:c r="L215" s="19"/>
    </x:row>
    <x:row r="216">
      <x:c r="A216" s="18"/>
      <x:c r="K216" s="19"/>
      <x:c r="L216" s="19"/>
    </x:row>
    <x:row r="217">
      <x:c r="A217" s="18"/>
      <x:c r="K217" s="19"/>
      <x:c r="L217" s="19"/>
    </x:row>
    <x:row r="218">
      <x:c r="A218" s="18"/>
      <x:c r="K218" s="19"/>
      <x:c r="L218" s="19"/>
    </x:row>
    <x:row r="219">
      <x:c r="A219" s="18"/>
      <x:c r="K219" s="19"/>
      <x:c r="L219" s="19"/>
    </x:row>
    <x:row r="220">
      <x:c r="A220" s="18"/>
      <x:c r="K220" s="19"/>
      <x:c r="L220" s="19"/>
    </x:row>
    <x:row r="221">
      <x:c r="A221" s="18"/>
      <x:c r="K221" s="19"/>
      <x:c r="L221" s="19"/>
    </x:row>
    <x:row r="222">
      <x:c r="A222" s="18"/>
      <x:c r="K222" s="19"/>
      <x:c r="L222" s="19"/>
    </x:row>
    <x:row r="223">
      <x:c r="A223" s="18"/>
      <x:c r="K223" s="19"/>
      <x:c r="L223" s="19"/>
    </x:row>
    <x:row r="224">
      <x:c r="A224" s="18"/>
      <x:c r="K224" s="19"/>
      <x:c r="L224" s="19"/>
    </x:row>
    <x:row r="225">
      <x:c r="A225" s="18"/>
      <x:c r="K225" s="19"/>
      <x:c r="L225" s="19"/>
    </x:row>
    <x:row r="226">
      <x:c r="A226" s="18"/>
      <x:c r="K226" s="19"/>
      <x:c r="L226" s="19"/>
    </x:row>
    <x:row r="227">
      <x:c r="A227" s="18"/>
      <x:c r="K227" s="19"/>
      <x:c r="L227" s="19"/>
    </x:row>
    <x:row r="228">
      <x:c r="A228" s="18"/>
      <x:c r="K228" s="19"/>
      <x:c r="L228" s="19"/>
    </x:row>
    <x:row r="229">
      <x:c r="A229" s="18"/>
      <x:c r="K229" s="19"/>
      <x:c r="L229" s="19"/>
    </x:row>
    <x:row r="230">
      <x:c r="A230" s="18"/>
      <x:c r="K230" s="19"/>
      <x:c r="L230" s="19"/>
    </x:row>
    <x:row r="231">
      <x:c r="A231" s="18"/>
      <x:c r="K231" s="19"/>
      <x:c r="L231" s="19"/>
    </x:row>
    <x:row r="232">
      <x:c r="A232" s="18"/>
      <x:c r="K232" s="19"/>
      <x:c r="L232" s="19"/>
    </x:row>
    <x:row r="233">
      <x:c r="A233" s="18"/>
      <x:c r="K233" s="19"/>
      <x:c r="L233" s="19"/>
    </x:row>
    <x:row r="234">
      <x:c r="A234" s="18"/>
      <x:c r="K234" s="19"/>
      <x:c r="L234" s="19"/>
    </x:row>
    <x:row r="235">
      <x:c r="A235" s="18"/>
      <x:c r="K235" s="19"/>
      <x:c r="L235" s="19"/>
    </x:row>
    <x:row r="236">
      <x:c r="A236" s="18"/>
      <x:c r="K236" s="19"/>
      <x:c r="L236" s="19"/>
    </x:row>
    <x:row r="237">
      <x:c r="A237" s="18"/>
      <x:c r="K237" s="19"/>
      <x:c r="L237" s="19"/>
    </x:row>
    <x:row r="238">
      <x:c r="A238" s="18"/>
      <x:c r="K238" s="19"/>
      <x:c r="L238" s="19"/>
    </x:row>
    <x:row r="239">
      <x:c r="A239" s="18"/>
      <x:c r="K239" s="19"/>
      <x:c r="L239" s="19"/>
    </x:row>
    <x:row r="240">
      <x:c r="A240" s="18"/>
      <x:c r="K240" s="19"/>
      <x:c r="L240" s="19"/>
    </x:row>
    <x:row r="241">
      <x:c r="A241" s="18"/>
      <x:c r="K241" s="19"/>
      <x:c r="L241" s="19"/>
    </x:row>
    <x:row r="242">
      <x:c r="A242" s="18"/>
      <x:c r="K242" s="19"/>
      <x:c r="L242" s="19"/>
    </x:row>
    <x:row r="243">
      <x:c r="A243" s="18"/>
      <x:c r="K243" s="19"/>
      <x:c r="L243" s="19"/>
    </x:row>
    <x:row r="244">
      <x:c r="A244" s="18"/>
      <x:c r="K244" s="19"/>
      <x:c r="L244" s="19"/>
    </x:row>
    <x:row r="245">
      <x:c r="A245" s="18"/>
      <x:c r="K245" s="19"/>
      <x:c r="L245" s="19"/>
    </x:row>
    <x:row r="246">
      <x:c r="A246" s="18"/>
      <x:c r="K246" s="19"/>
      <x:c r="L246" s="19"/>
    </x:row>
    <x:row r="247">
      <x:c r="A247" s="18"/>
      <x:c r="K247" s="19"/>
      <x:c r="L247" s="19"/>
    </x:row>
    <x:row r="248">
      <x:c r="A248" s="18"/>
      <x:c r="K248" s="19"/>
      <x:c r="L248" s="19"/>
    </x:row>
    <x:row r="249">
      <x:c r="A249" s="18"/>
      <x:c r="K249" s="19"/>
      <x:c r="L249" s="19"/>
    </x:row>
    <x:row r="250">
      <x:c r="A250" s="18"/>
      <x:c r="K250" s="19"/>
      <x:c r="L250" s="19"/>
    </x:row>
    <x:row r="251">
      <x:c r="A251" s="18"/>
      <x:c r="K251" s="19"/>
      <x:c r="L251" s="19"/>
    </x:row>
    <x:row r="252">
      <x:c r="A252" s="18"/>
      <x:c r="K252" s="19"/>
      <x:c r="L252" s="19"/>
    </x:row>
    <x:row r="253">
      <x:c r="A253" s="18"/>
      <x:c r="K253" s="19"/>
      <x:c r="L253" s="19"/>
    </x:row>
    <x:row r="254">
      <x:c r="A254" s="18"/>
      <x:c r="K254" s="19"/>
      <x:c r="L254" s="19"/>
    </x:row>
    <x:row r="255">
      <x:c r="A255" s="18"/>
      <x:c r="K255" s="19"/>
      <x:c r="L255" s="19"/>
    </x:row>
  </x:sheetData>
  <x:dataValidations count="4">
    <x:dataValidation type="list" sqref="F6:F255">
      <x:formula1>"Revenue,Refund,Operating expense,Member contribution,Member distribution,Transfer in,Transfer out,Sales tax collected,Sales tax remitted,Asset purchase,Loan proceeds,Loan repayment,Other review"</x:formula1>
    </x:dataValidation>
    <x:dataValidation type="list" sqref="B6:B255">
      <x:formula1>"Bank,Processor,Cash,Other"</x:formula1>
    </x:dataValidation>
    <x:dataValidation type="list" sqref="J6:J255">
      <x:formula1>"Ender,Alexa"</x:formula1>
    </x:dataValidation>
    <x:dataValidation type="list" sqref="N6:N255">
      <x:formula1>"Needs review,Reviewed"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26" hidden="0" customWidth="1"/>
    <x:col min="4" max="4" width="40" hidden="0" customWidth="1"/>
    <x:col min="5" max="5" width="16" hidden="0" customWidth="1"/>
    <x:col min="6" max="6" width="48" hidden="0" customWidth="1"/>
    <x:col min="7" max="7" width="24" hidden="0" customWidth="1"/>
    <x:col min="8" max="8" width="17" hidden="0" customWidth="1"/>
  </x:cols>
  <x:sheetData>
    <x:row r="1">
      <x:c r="A1" s="13" t="str">
        <x:v>Setup costs paid personally</x:v>
      </x:c>
      <x:c r="B1" s="13"/>
      <x:c r="C1" s="13"/>
      <x:c r="D1" s="13"/>
      <x:c r="E1" s="13"/>
      <x:c r="F1" s="13"/>
      <x:c r="G1" s="13"/>
      <x:c r="H1" s="13"/>
      <x:c r="I1" s="1"/>
      <x:c r="J1" s="1"/>
      <x:c r="K1" s="1"/>
      <x:c r="L1" s="1"/>
      <x:c r="M1" s="1"/>
      <x:c r="N1" s="1"/>
      <x:c r="O1" s="1"/>
    </x:row>
    <x:row r="2">
      <x:c r="A2" s="1" t="str">
        <x:v>Keep pre-account spending here until reimbursement, contribution, and tax treatment are reviewed.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8" customHeight="1">
      <x:c r="A5" s="16" t="str">
        <x:v>Date</x:v>
      </x:c>
      <x:c r="B5" s="16" t="str">
        <x:v>Paid by</x:v>
      </x:c>
      <x:c r="C5" s="16" t="str">
        <x:v>Vendor</x:v>
      </x:c>
      <x:c r="D5" s="16" t="str">
        <x:v>Business purpose</x:v>
      </x:c>
      <x:c r="E5" s="16" t="str">
        <x:v>Amount</x:v>
      </x:c>
      <x:c r="F5" s="16" t="str">
        <x:v>Evidence file</x:v>
      </x:c>
      <x:c r="G5" s="16" t="str">
        <x:v>Proposed treatment</x:v>
      </x:c>
      <x:c r="H5" s="16" t="str">
        <x:v>Review status</x:v>
      </x:c>
      <x:c r="I5" s="1"/>
      <x:c r="J5" s="1"/>
      <x:c r="K5" s="1"/>
      <x:c r="L5" s="1"/>
      <x:c r="M5" s="1"/>
      <x:c r="N5" s="1"/>
      <x:c r="O5" s="1"/>
    </x:row>
    <x:row r="6">
      <x:c r="A6" s="17"/>
      <x:c r="B6" s="1"/>
      <x:c r="C6" s="1"/>
      <x:c r="D6" s="1"/>
      <x:c r="E6" s="4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7"/>
      <x:c r="B7" s="1"/>
      <x:c r="C7" s="1"/>
      <x:c r="D7" s="1"/>
      <x:c r="E7" s="4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7"/>
      <x:c r="B8" s="1"/>
      <x:c r="C8" s="1"/>
      <x:c r="D8" s="1"/>
      <x:c r="E8" s="4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7"/>
      <x:c r="B9" s="1"/>
      <x:c r="C9" s="1"/>
      <x:c r="D9" s="1"/>
      <x:c r="E9" s="4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7"/>
      <x:c r="B10" s="1"/>
      <x:c r="C10" s="1"/>
      <x:c r="D10" s="1"/>
      <x:c r="E10" s="4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7"/>
      <x:c r="B11" s="1"/>
      <x:c r="C11" s="1"/>
      <x:c r="D11" s="1"/>
      <x:c r="E11" s="4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7"/>
      <x:c r="B12" s="1"/>
      <x:c r="C12" s="1"/>
      <x:c r="D12" s="1"/>
      <x:c r="E12" s="4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7"/>
      <x:c r="B13" s="1"/>
      <x:c r="C13" s="1"/>
      <x:c r="D13" s="1"/>
      <x:c r="E13" s="4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7"/>
      <x:c r="B14" s="1"/>
      <x:c r="C14" s="1"/>
      <x:c r="D14" s="1"/>
      <x:c r="E14" s="4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7"/>
      <x:c r="B15" s="1"/>
      <x:c r="C15" s="1"/>
      <x:c r="D15" s="1"/>
      <x:c r="E15" s="4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7"/>
      <x:c r="B16" s="1"/>
      <x:c r="C16" s="1"/>
      <x:c r="D16" s="1"/>
      <x:c r="E16" s="4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7"/>
      <x:c r="B17" s="1"/>
      <x:c r="C17" s="1"/>
      <x:c r="D17" s="1"/>
      <x:c r="E17" s="4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7"/>
      <x:c r="B18" s="1"/>
      <x:c r="C18" s="1"/>
      <x:c r="D18" s="1"/>
      <x:c r="E18" s="4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7"/>
      <x:c r="B19" s="1"/>
      <x:c r="C19" s="1"/>
      <x:c r="D19" s="1"/>
      <x:c r="E19" s="4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7"/>
      <x:c r="B20" s="1"/>
      <x:c r="C20" s="1"/>
      <x:c r="D20" s="1"/>
      <x:c r="E20" s="4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7"/>
      <x:c r="B21" s="1"/>
      <x:c r="C21" s="1"/>
      <x:c r="D21" s="1"/>
      <x:c r="E21" s="4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7"/>
      <x:c r="B22" s="1"/>
      <x:c r="C22" s="1"/>
      <x:c r="D22" s="1"/>
      <x:c r="E22" s="4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8"/>
      <x:c r="E23" s="19"/>
    </x:row>
    <x:row r="24">
      <x:c r="A24" s="18"/>
      <x:c r="E24" s="19"/>
    </x:row>
    <x:row r="25">
      <x:c r="A25" s="18"/>
      <x:c r="E25" s="19"/>
    </x:row>
    <x:row r="26">
      <x:c r="A26" s="18"/>
      <x:c r="E26" s="19"/>
    </x:row>
    <x:row r="27">
      <x:c r="A27" s="18"/>
      <x:c r="E27" s="19"/>
    </x:row>
    <x:row r="28">
      <x:c r="A28" s="18"/>
      <x:c r="E28" s="19"/>
    </x:row>
    <x:row r="29">
      <x:c r="A29" s="18"/>
      <x:c r="E29" s="19"/>
    </x:row>
    <x:row r="30">
      <x:c r="A30" s="18"/>
      <x:c r="E30" s="19"/>
    </x:row>
    <x:row r="31">
      <x:c r="A31" s="18"/>
      <x:c r="E31" s="19"/>
    </x:row>
    <x:row r="32">
      <x:c r="A32" s="18"/>
      <x:c r="E32" s="19"/>
    </x:row>
    <x:row r="33">
      <x:c r="A33" s="18"/>
      <x:c r="E33" s="19"/>
    </x:row>
    <x:row r="34">
      <x:c r="A34" s="18"/>
      <x:c r="E34" s="19"/>
    </x:row>
    <x:row r="35">
      <x:c r="A35" s="18"/>
      <x:c r="E35" s="19"/>
    </x:row>
    <x:row r="36">
      <x:c r="A36" s="18"/>
      <x:c r="E36" s="19"/>
    </x:row>
    <x:row r="37">
      <x:c r="A37" s="18"/>
      <x:c r="E37" s="19"/>
    </x:row>
    <x:row r="38">
      <x:c r="A38" s="18"/>
      <x:c r="E38" s="19"/>
    </x:row>
    <x:row r="39">
      <x:c r="A39" s="18"/>
      <x:c r="E39" s="19"/>
    </x:row>
    <x:row r="40">
      <x:c r="A40" s="18"/>
      <x:c r="E40" s="19"/>
    </x:row>
    <x:row r="41">
      <x:c r="A41" s="18"/>
      <x:c r="E41" s="19"/>
    </x:row>
    <x:row r="42">
      <x:c r="A42" s="18"/>
      <x:c r="E42" s="19"/>
    </x:row>
    <x:row r="43">
      <x:c r="A43" s="18"/>
      <x:c r="E43" s="19"/>
    </x:row>
    <x:row r="44">
      <x:c r="A44" s="18"/>
      <x:c r="E44" s="19"/>
    </x:row>
    <x:row r="45">
      <x:c r="A45" s="18"/>
      <x:c r="E45" s="19"/>
    </x:row>
    <x:row r="46">
      <x:c r="A46" s="18"/>
      <x:c r="E46" s="19"/>
    </x:row>
    <x:row r="47">
      <x:c r="A47" s="18"/>
      <x:c r="E47" s="19"/>
    </x:row>
    <x:row r="48">
      <x:c r="A48" s="18"/>
      <x:c r="E48" s="19"/>
    </x:row>
    <x:row r="49">
      <x:c r="A49" s="18"/>
      <x:c r="E49" s="19"/>
    </x:row>
    <x:row r="50">
      <x:c r="A50" s="18"/>
      <x:c r="E50" s="19"/>
    </x:row>
    <x:row r="51">
      <x:c r="A51" s="18"/>
      <x:c r="E51" s="19"/>
    </x:row>
    <x:row r="52">
      <x:c r="A52" s="18"/>
      <x:c r="E52" s="19"/>
    </x:row>
    <x:row r="53">
      <x:c r="A53" s="18"/>
      <x:c r="E53" s="19"/>
    </x:row>
    <x:row r="54">
      <x:c r="A54" s="18"/>
      <x:c r="E54" s="19"/>
    </x:row>
    <x:row r="55">
      <x:c r="A55" s="18"/>
      <x:c r="E55" s="19"/>
    </x:row>
    <x:row r="56">
      <x:c r="A56" s="18"/>
      <x:c r="E56" s="19"/>
    </x:row>
    <x:row r="57">
      <x:c r="A57" s="18"/>
      <x:c r="E57" s="19"/>
    </x:row>
    <x:row r="58">
      <x:c r="A58" s="18"/>
      <x:c r="E58" s="19"/>
    </x:row>
    <x:row r="59">
      <x:c r="A59" s="18"/>
      <x:c r="E59" s="19"/>
    </x:row>
    <x:row r="60">
      <x:c r="A60" s="18"/>
      <x:c r="E60" s="19"/>
    </x:row>
    <x:row r="61">
      <x:c r="A61" s="18"/>
      <x:c r="E61" s="19"/>
    </x:row>
    <x:row r="62">
      <x:c r="A62" s="18"/>
      <x:c r="E62" s="19"/>
    </x:row>
    <x:row r="63">
      <x:c r="A63" s="18"/>
      <x:c r="E63" s="19"/>
    </x:row>
    <x:row r="64">
      <x:c r="A64" s="18"/>
      <x:c r="E64" s="19"/>
    </x:row>
    <x:row r="65">
      <x:c r="A65" s="18"/>
      <x:c r="E65" s="19"/>
    </x:row>
    <x:row r="66">
      <x:c r="A66" s="18"/>
      <x:c r="E66" s="19"/>
    </x:row>
    <x:row r="67">
      <x:c r="A67" s="18"/>
      <x:c r="E67" s="19"/>
    </x:row>
    <x:row r="68">
      <x:c r="A68" s="18"/>
      <x:c r="E68" s="19"/>
    </x:row>
    <x:row r="69">
      <x:c r="A69" s="18"/>
      <x:c r="E69" s="19"/>
    </x:row>
    <x:row r="70">
      <x:c r="A70" s="18"/>
      <x:c r="E70" s="19"/>
    </x:row>
    <x:row r="71">
      <x:c r="A71" s="18"/>
      <x:c r="E71" s="19"/>
    </x:row>
    <x:row r="72">
      <x:c r="A72" s="18"/>
      <x:c r="E72" s="19"/>
    </x:row>
    <x:row r="73">
      <x:c r="A73" s="18"/>
      <x:c r="E73" s="19"/>
    </x:row>
    <x:row r="74">
      <x:c r="A74" s="18"/>
      <x:c r="E74" s="19"/>
    </x:row>
    <x:row r="75">
      <x:c r="A75" s="18"/>
      <x:c r="E75" s="19"/>
    </x:row>
    <x:row r="76">
      <x:c r="A76" s="18"/>
      <x:c r="E76" s="19"/>
    </x:row>
    <x:row r="77">
      <x:c r="A77" s="18"/>
      <x:c r="E77" s="19"/>
    </x:row>
    <x:row r="78">
      <x:c r="A78" s="18"/>
      <x:c r="E78" s="19"/>
    </x:row>
    <x:row r="79">
      <x:c r="A79" s="18"/>
      <x:c r="E79" s="19"/>
    </x:row>
    <x:row r="80">
      <x:c r="A80" s="18"/>
      <x:c r="E80" s="19"/>
    </x:row>
    <x:row r="81">
      <x:c r="A81" s="18"/>
      <x:c r="E81" s="19"/>
    </x:row>
    <x:row r="82">
      <x:c r="A82" s="18"/>
      <x:c r="E82" s="19"/>
    </x:row>
    <x:row r="83">
      <x:c r="A83" s="18"/>
      <x:c r="E83" s="19"/>
    </x:row>
    <x:row r="84">
      <x:c r="A84" s="18"/>
      <x:c r="E84" s="19"/>
    </x:row>
    <x:row r="85">
      <x:c r="A85" s="18"/>
      <x:c r="E85" s="19"/>
    </x:row>
    <x:row r="86">
      <x:c r="A86" s="18"/>
      <x:c r="E86" s="19"/>
    </x:row>
    <x:row r="87">
      <x:c r="A87" s="18"/>
      <x:c r="E87" s="19"/>
    </x:row>
    <x:row r="88">
      <x:c r="A88" s="18"/>
      <x:c r="E88" s="19"/>
    </x:row>
    <x:row r="89">
      <x:c r="A89" s="18"/>
      <x:c r="E89" s="19"/>
    </x:row>
    <x:row r="90">
      <x:c r="A90" s="18"/>
      <x:c r="E90" s="19"/>
    </x:row>
    <x:row r="91">
      <x:c r="A91" s="18"/>
      <x:c r="E91" s="19"/>
    </x:row>
    <x:row r="92">
      <x:c r="A92" s="18"/>
      <x:c r="E92" s="19"/>
    </x:row>
    <x:row r="93">
      <x:c r="A93" s="18"/>
      <x:c r="E93" s="19"/>
    </x:row>
    <x:row r="94">
      <x:c r="A94" s="18"/>
      <x:c r="E94" s="19"/>
    </x:row>
    <x:row r="95">
      <x:c r="A95" s="18"/>
      <x:c r="E95" s="19"/>
    </x:row>
    <x:row r="96">
      <x:c r="A96" s="18"/>
      <x:c r="E96" s="19"/>
    </x:row>
    <x:row r="97">
      <x:c r="A97" s="18"/>
      <x:c r="E97" s="19"/>
    </x:row>
    <x:row r="98">
      <x:c r="A98" s="18"/>
      <x:c r="E98" s="19"/>
    </x:row>
    <x:row r="99">
      <x:c r="A99" s="18"/>
      <x:c r="E99" s="19"/>
    </x:row>
    <x:row r="100">
      <x:c r="A100" s="18"/>
      <x:c r="E100" s="19"/>
    </x:row>
    <x:row r="101">
      <x:c r="A101" s="18"/>
      <x:c r="E101" s="19"/>
    </x:row>
    <x:row r="102">
      <x:c r="A102" s="18"/>
      <x:c r="E102" s="19"/>
    </x:row>
    <x:row r="103">
      <x:c r="A103" s="18"/>
      <x:c r="E103" s="19"/>
    </x:row>
    <x:row r="104">
      <x:c r="A104" s="18"/>
      <x:c r="E104" s="19"/>
    </x:row>
    <x:row r="105">
      <x:c r="A105" s="18"/>
      <x:c r="E105" s="19"/>
    </x:row>
  </x:sheetData>
  <x:dataValidations count="3">
    <x:dataValidation type="list" sqref="B6:B105">
      <x:formula1>"Ender,Alexa"</x:formula1>
    </x:dataValidation>
    <x:dataValidation type="list" sqref="G6:G105">
      <x:formula1>"Pending,Possible reimbursement,Possible contribution"</x:formula1>
    </x:dataValidation>
    <x:dataValidation type="list" sqref="H6:H105">
      <x:formula1>"Needs review,Reviewed"</x:formula1>
    </x:dataValidation>
  </x:dataValidations>
  <x:pageMargins left="0.7" right="0.7" top="0.75" bottom="0.75" header="0.3" footer="0.3"/>
</x:worksheet>
</file>